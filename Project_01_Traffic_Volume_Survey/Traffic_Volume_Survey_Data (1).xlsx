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19F8FEF-2F56-421E-9B0A-7ABB07B6A9B0}" xr6:coauthVersionLast="47" xr6:coauthVersionMax="47" xr10:uidLastSave="{00000000-0000-0000-0000-000000000000}"/>
  <bookViews>
    <workbookView xWindow="2508" yWindow="2508" windowWidth="17280" windowHeight="8880" tabRatio="500" xr2:uid="{00000000-000D-0000-FFFF-FFFF00000000}"/>
  </bookViews>
  <sheets>
    <sheet name="Morning Data" sheetId="2" r:id="rId1"/>
    <sheet name="Evening Data" sheetId="3" r:id="rId2"/>
    <sheet name="Analysis" sheetId="4" r:id="rId3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4" l="1"/>
  <c r="C7" i="4"/>
  <c r="B7" i="4"/>
  <c r="C6" i="4"/>
  <c r="B6" i="4"/>
  <c r="C5" i="4"/>
  <c r="C4" i="4"/>
  <c r="C9" i="4" s="1"/>
  <c r="F8" i="3"/>
  <c r="E8" i="3"/>
  <c r="D8" i="3"/>
  <c r="C8" i="3"/>
  <c r="B8" i="3"/>
  <c r="G7" i="3"/>
  <c r="G6" i="3"/>
  <c r="G5" i="3"/>
  <c r="G4" i="3"/>
  <c r="G8" i="3" s="1"/>
  <c r="F8" i="2"/>
  <c r="B8" i="4" s="1"/>
  <c r="E8" i="2"/>
  <c r="D8" i="2"/>
  <c r="C8" i="2"/>
  <c r="B5" i="4" s="1"/>
  <c r="B8" i="2"/>
  <c r="B4" i="4" s="1"/>
  <c r="G7" i="2"/>
  <c r="G6" i="2"/>
  <c r="G5" i="2"/>
  <c r="G8" i="2" s="1"/>
  <c r="G4" i="2"/>
  <c r="B14" i="4" s="1"/>
  <c r="B15" i="4" s="1"/>
  <c r="D5" i="4" l="1"/>
  <c r="E6" i="4"/>
  <c r="D7" i="4"/>
  <c r="E5" i="4"/>
  <c r="E7" i="4"/>
  <c r="D4" i="4"/>
  <c r="B9" i="4"/>
  <c r="D8" i="4"/>
  <c r="D6" i="4"/>
  <c r="E8" i="4"/>
  <c r="E4" i="4"/>
  <c r="B13" i="4"/>
  <c r="E9" i="4" l="1"/>
  <c r="D9" i="4"/>
</calcChain>
</file>

<file path=xl/sharedStrings.xml><?xml version="1.0" encoding="utf-8"?>
<sst xmlns="http://schemas.openxmlformats.org/spreadsheetml/2006/main" count="42" uniqueCount="27">
  <si>
    <t>Morning Peak Hour Traffic Volume — IIT (ISM) Main Gate (8:00–9:00 AM, Day 1)</t>
  </si>
  <si>
    <t>Time Interval</t>
  </si>
  <si>
    <t>Two-Wheeler</t>
  </si>
  <si>
    <t>Car</t>
  </si>
  <si>
    <t>Auto</t>
  </si>
  <si>
    <t>Bus</t>
  </si>
  <si>
    <t>Truck</t>
  </si>
  <si>
    <t>Total</t>
  </si>
  <si>
    <t>8:00 – 8:15 AM</t>
  </si>
  <si>
    <t>8:15 – 8:30 AM</t>
  </si>
  <si>
    <t>8:30 – 8:45 AM</t>
  </si>
  <si>
    <t>8:45 – 9:00 AM</t>
  </si>
  <si>
    <t>Evening Peak Hour Traffic Volume — IIT (ISM) Main Gate (5:00–6:00 PM, Day 2)</t>
  </si>
  <si>
    <t>5:00 – 5:15 PM</t>
  </si>
  <si>
    <t>5:15 – 5:30 PM</t>
  </si>
  <si>
    <t>5:30 – 5:45 PM</t>
  </si>
  <si>
    <t>5:45 – 6:00 PM</t>
  </si>
  <si>
    <t>Traffic Composition &amp; Peak Analysis — IIT (ISM) Main Gate</t>
  </si>
  <si>
    <t>Vehicle Type</t>
  </si>
  <si>
    <t>Morning Count (veh/hr)</t>
  </si>
  <si>
    <t>Evening Count (veh/hr)</t>
  </si>
  <si>
    <t>Morning %</t>
  </si>
  <si>
    <t>Evening %</t>
  </si>
  <si>
    <t>Peak 15-Minute Interval Summary</t>
  </si>
  <si>
    <t>Busiest Interval (Morning)</t>
  </si>
  <si>
    <t>Peak Volume (veh/15min)</t>
  </si>
  <si>
    <t>Equivalent Hourly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</si>
</sst>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charset val="1"/>
    </font>
    <font>
      <b/>
      <sz val="14"/>
      <color rgb="FF1F3864"/>
      <name val="Calibri"/>
      <charset val="1"/>
    </font>
    <font>
      <sz val="11"/>
      <name val="Calibri"/>
      <charset val="1"/>
    </font>
    <font>
      <b/>
      <sz val="11"/>
      <color rgb="FFFFFFFF"/>
      <name val="Calibri"/>
      <charset val="1"/>
    </font>
    <font>
      <b/>
      <sz val="11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Morning Peak Hour Traffic Volume by Interval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'Morning Data'!$B$3</c:f>
              <c:strCache>
                <c:ptCount val="1"/>
                <c:pt idx="0">
                  <c:v>Two-Wheeler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'Morning Data'!$A$4:$A$7</c:f>
              <c:strCache>
                <c:ptCount val="4"/>
                <c:pt idx="0">
                  <c:v>8:00 – 8:15 AM</c:v>
                </c:pt>
                <c:pt idx="1">
                  <c:v>8:15 – 8:30 AM</c:v>
                </c:pt>
                <c:pt idx="2">
                  <c:v>8:30 – 8:45 AM</c:v>
                </c:pt>
                <c:pt idx="3">
                  <c:v>8:45 – 9:00 AM</c:v>
                </c:pt>
              </c:strCache>
            </c:strRef>
          </c:cat>
          <c:val>
            <c:numRef>
              <c:f>'Morning Data'!$B$4:$B$7</c:f>
              <c:numCache>
                <c:formatCode>General</c:formatCode>
                <c:ptCount val="4"/>
                <c:pt idx="0">
                  <c:v>96</c:v>
                </c:pt>
                <c:pt idx="1">
                  <c:v>101</c:v>
                </c:pt>
                <c:pt idx="2">
                  <c:v>112</c:v>
                </c:pt>
                <c:pt idx="3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B-4C3F-A17A-0944DE481557}"/>
            </c:ext>
          </c:extLst>
        </c:ser>
        <c:ser>
          <c:idx val="1"/>
          <c:order val="1"/>
          <c:tx>
            <c:strRef>
              <c:f>'Morning Data'!$C$3</c:f>
              <c:strCache>
                <c:ptCount val="1"/>
                <c:pt idx="0">
                  <c:v>Car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'Morning Data'!$A$4:$A$7</c:f>
              <c:strCache>
                <c:ptCount val="4"/>
                <c:pt idx="0">
                  <c:v>8:00 – 8:15 AM</c:v>
                </c:pt>
                <c:pt idx="1">
                  <c:v>8:15 – 8:30 AM</c:v>
                </c:pt>
                <c:pt idx="2">
                  <c:v>8:30 – 8:45 AM</c:v>
                </c:pt>
                <c:pt idx="3">
                  <c:v>8:45 – 9:00 AM</c:v>
                </c:pt>
              </c:strCache>
            </c:strRef>
          </c:cat>
          <c:val>
            <c:numRef>
              <c:f>'Morning Data'!$C$4:$C$7</c:f>
              <c:numCache>
                <c:formatCode>General</c:formatCode>
                <c:ptCount val="4"/>
                <c:pt idx="0">
                  <c:v>34</c:v>
                </c:pt>
                <c:pt idx="1">
                  <c:v>41</c:v>
                </c:pt>
                <c:pt idx="2">
                  <c:v>38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7B-4C3F-A17A-0944DE481557}"/>
            </c:ext>
          </c:extLst>
        </c:ser>
        <c:ser>
          <c:idx val="2"/>
          <c:order val="2"/>
          <c:tx>
            <c:strRef>
              <c:f>'Morning Data'!$D$3</c:f>
              <c:strCache>
                <c:ptCount val="1"/>
                <c:pt idx="0">
                  <c:v>Auto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'Morning Data'!$A$4:$A$7</c:f>
              <c:strCache>
                <c:ptCount val="4"/>
                <c:pt idx="0">
                  <c:v>8:00 – 8:15 AM</c:v>
                </c:pt>
                <c:pt idx="1">
                  <c:v>8:15 – 8:30 AM</c:v>
                </c:pt>
                <c:pt idx="2">
                  <c:v>8:30 – 8:45 AM</c:v>
                </c:pt>
                <c:pt idx="3">
                  <c:v>8:45 – 9:00 AM</c:v>
                </c:pt>
              </c:strCache>
            </c:strRef>
          </c:cat>
          <c:val>
            <c:numRef>
              <c:f>'Morning Data'!$D$4:$D$7</c:f>
              <c:numCache>
                <c:formatCode>General</c:formatCode>
                <c:ptCount val="4"/>
                <c:pt idx="0">
                  <c:v>19</c:v>
                </c:pt>
                <c:pt idx="1">
                  <c:v>22</c:v>
                </c:pt>
                <c:pt idx="2">
                  <c:v>20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7B-4C3F-A17A-0944DE481557}"/>
            </c:ext>
          </c:extLst>
        </c:ser>
        <c:ser>
          <c:idx val="3"/>
          <c:order val="3"/>
          <c:tx>
            <c:strRef>
              <c:f>'Morning Data'!$E$3</c:f>
              <c:strCache>
                <c:ptCount val="1"/>
                <c:pt idx="0">
                  <c:v>Bus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'Morning Data'!$A$4:$A$7</c:f>
              <c:strCache>
                <c:ptCount val="4"/>
                <c:pt idx="0">
                  <c:v>8:00 – 8:15 AM</c:v>
                </c:pt>
                <c:pt idx="1">
                  <c:v>8:15 – 8:30 AM</c:v>
                </c:pt>
                <c:pt idx="2">
                  <c:v>8:30 – 8:45 AM</c:v>
                </c:pt>
                <c:pt idx="3">
                  <c:v>8:45 – 9:00 AM</c:v>
                </c:pt>
              </c:strCache>
            </c:strRef>
          </c:cat>
          <c:val>
            <c:numRef>
              <c:f>'Morning Data'!$E$4:$E$7</c:f>
              <c:numCache>
                <c:formatCode>General</c:formatCode>
                <c:ptCount val="4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7B-4C3F-A17A-0944DE481557}"/>
            </c:ext>
          </c:extLst>
        </c:ser>
        <c:ser>
          <c:idx val="4"/>
          <c:order val="4"/>
          <c:tx>
            <c:strRef>
              <c:f>'Morning Data'!$F$3</c:f>
              <c:strCache>
                <c:ptCount val="1"/>
                <c:pt idx="0">
                  <c:v>Truck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'Morning Data'!$A$4:$A$7</c:f>
              <c:strCache>
                <c:ptCount val="4"/>
                <c:pt idx="0">
                  <c:v>8:00 – 8:15 AM</c:v>
                </c:pt>
                <c:pt idx="1">
                  <c:v>8:15 – 8:30 AM</c:v>
                </c:pt>
                <c:pt idx="2">
                  <c:v>8:30 – 8:45 AM</c:v>
                </c:pt>
                <c:pt idx="3">
                  <c:v>8:45 – 9:00 AM</c:v>
                </c:pt>
              </c:strCache>
            </c:strRef>
          </c:cat>
          <c:val>
            <c:numRef>
              <c:f>'Morning Data'!$F$4:$F$7</c:f>
              <c:numCache>
                <c:formatCode>General</c:formatCode>
                <c:ptCount val="4"/>
                <c:pt idx="0">
                  <c:v>11</c:v>
                </c:pt>
                <c:pt idx="1">
                  <c:v>13</c:v>
                </c:pt>
                <c:pt idx="2">
                  <c:v>10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7B-4C3F-A17A-0944DE481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3366"/>
        <c:axId val="33856078"/>
      </c:barChart>
      <c:catAx>
        <c:axId val="20133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Time Interval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856078"/>
        <c:crosses val="autoZero"/>
        <c:auto val="1"/>
        <c:lblAlgn val="ctr"/>
        <c:lblOffset val="100"/>
        <c:noMultiLvlLbl val="0"/>
      </c:catAx>
      <c:valAx>
        <c:axId val="338560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Vehicle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133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Evening Peak Hour Traffic Volume by Interval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'Evening Data'!$B$3</c:f>
              <c:strCache>
                <c:ptCount val="1"/>
                <c:pt idx="0">
                  <c:v>Two-Wheeler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'Evening Data'!$A$4:$A$7</c:f>
              <c:strCache>
                <c:ptCount val="4"/>
                <c:pt idx="0">
                  <c:v>5:00 – 5:15 PM</c:v>
                </c:pt>
                <c:pt idx="1">
                  <c:v>5:15 – 5:30 PM</c:v>
                </c:pt>
                <c:pt idx="2">
                  <c:v>5:30 – 5:45 PM</c:v>
                </c:pt>
                <c:pt idx="3">
                  <c:v>5:45 – 6:00 PM</c:v>
                </c:pt>
              </c:strCache>
            </c:strRef>
          </c:cat>
          <c:val>
            <c:numRef>
              <c:f>'Evening Data'!$B$4:$B$7</c:f>
              <c:numCache>
                <c:formatCode>General</c:formatCode>
                <c:ptCount val="4"/>
                <c:pt idx="0">
                  <c:v>89</c:v>
                </c:pt>
                <c:pt idx="1">
                  <c:v>98</c:v>
                </c:pt>
                <c:pt idx="2">
                  <c:v>121</c:v>
                </c:pt>
                <c:pt idx="3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1-4248-88C3-A098E655CEF3}"/>
            </c:ext>
          </c:extLst>
        </c:ser>
        <c:ser>
          <c:idx val="1"/>
          <c:order val="1"/>
          <c:tx>
            <c:strRef>
              <c:f>'Evening Data'!$C$3</c:f>
              <c:strCache>
                <c:ptCount val="1"/>
                <c:pt idx="0">
                  <c:v>Car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'Evening Data'!$A$4:$A$7</c:f>
              <c:strCache>
                <c:ptCount val="4"/>
                <c:pt idx="0">
                  <c:v>5:00 – 5:15 PM</c:v>
                </c:pt>
                <c:pt idx="1">
                  <c:v>5:15 – 5:30 PM</c:v>
                </c:pt>
                <c:pt idx="2">
                  <c:v>5:30 – 5:45 PM</c:v>
                </c:pt>
                <c:pt idx="3">
                  <c:v>5:45 – 6:00 PM</c:v>
                </c:pt>
              </c:strCache>
            </c:strRef>
          </c:cat>
          <c:val>
            <c:numRef>
              <c:f>'Evening Data'!$C$4:$C$7</c:f>
              <c:numCache>
                <c:formatCode>General</c:formatCode>
                <c:ptCount val="4"/>
                <c:pt idx="0">
                  <c:v>31</c:v>
                </c:pt>
                <c:pt idx="1">
                  <c:v>35</c:v>
                </c:pt>
                <c:pt idx="2">
                  <c:v>40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51-4248-88C3-A098E655CEF3}"/>
            </c:ext>
          </c:extLst>
        </c:ser>
        <c:ser>
          <c:idx val="2"/>
          <c:order val="2"/>
          <c:tx>
            <c:strRef>
              <c:f>'Evening Data'!$D$3</c:f>
              <c:strCache>
                <c:ptCount val="1"/>
                <c:pt idx="0">
                  <c:v>Auto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'Evening Data'!$A$4:$A$7</c:f>
              <c:strCache>
                <c:ptCount val="4"/>
                <c:pt idx="0">
                  <c:v>5:00 – 5:15 PM</c:v>
                </c:pt>
                <c:pt idx="1">
                  <c:v>5:15 – 5:30 PM</c:v>
                </c:pt>
                <c:pt idx="2">
                  <c:v>5:30 – 5:45 PM</c:v>
                </c:pt>
                <c:pt idx="3">
                  <c:v>5:45 – 6:00 PM</c:v>
                </c:pt>
              </c:strCache>
            </c:strRef>
          </c:cat>
          <c:val>
            <c:numRef>
              <c:f>'Evening Data'!$D$4:$D$7</c:f>
              <c:numCache>
                <c:formatCode>General</c:formatCode>
                <c:ptCount val="4"/>
                <c:pt idx="0">
                  <c:v>17</c:v>
                </c:pt>
                <c:pt idx="1">
                  <c:v>21</c:v>
                </c:pt>
                <c:pt idx="2">
                  <c:v>24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51-4248-88C3-A098E655CEF3}"/>
            </c:ext>
          </c:extLst>
        </c:ser>
        <c:ser>
          <c:idx val="3"/>
          <c:order val="3"/>
          <c:tx>
            <c:strRef>
              <c:f>'Evening Data'!$E$3</c:f>
              <c:strCache>
                <c:ptCount val="1"/>
                <c:pt idx="0">
                  <c:v>Bus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'Evening Data'!$A$4:$A$7</c:f>
              <c:strCache>
                <c:ptCount val="4"/>
                <c:pt idx="0">
                  <c:v>5:00 – 5:15 PM</c:v>
                </c:pt>
                <c:pt idx="1">
                  <c:v>5:15 – 5:30 PM</c:v>
                </c:pt>
                <c:pt idx="2">
                  <c:v>5:30 – 5:45 PM</c:v>
                </c:pt>
                <c:pt idx="3">
                  <c:v>5:45 – 6:00 PM</c:v>
                </c:pt>
              </c:strCache>
            </c:strRef>
          </c:cat>
          <c:val>
            <c:numRef>
              <c:f>'Evening Data'!$E$4:$E$7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51-4248-88C3-A098E655CEF3}"/>
            </c:ext>
          </c:extLst>
        </c:ser>
        <c:ser>
          <c:idx val="4"/>
          <c:order val="4"/>
          <c:tx>
            <c:strRef>
              <c:f>'Evening Data'!$F$3</c:f>
              <c:strCache>
                <c:ptCount val="1"/>
                <c:pt idx="0">
                  <c:v>Truck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'Evening Data'!$A$4:$A$7</c:f>
              <c:strCache>
                <c:ptCount val="4"/>
                <c:pt idx="0">
                  <c:v>5:00 – 5:15 PM</c:v>
                </c:pt>
                <c:pt idx="1">
                  <c:v>5:15 – 5:30 PM</c:v>
                </c:pt>
                <c:pt idx="2">
                  <c:v>5:30 – 5:45 PM</c:v>
                </c:pt>
                <c:pt idx="3">
                  <c:v>5:45 – 6:00 PM</c:v>
                </c:pt>
              </c:strCache>
            </c:strRef>
          </c:cat>
          <c:val>
            <c:numRef>
              <c:f>'Evening Data'!$F$4:$F$7</c:f>
              <c:numCache>
                <c:formatCode>General</c:formatCode>
                <c:ptCount val="4"/>
                <c:pt idx="0">
                  <c:v>9</c:v>
                </c:pt>
                <c:pt idx="1">
                  <c:v>12</c:v>
                </c:pt>
                <c:pt idx="2">
                  <c:v>13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51-4248-88C3-A098E655C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63559"/>
        <c:axId val="46748841"/>
      </c:barChart>
      <c:catAx>
        <c:axId val="63635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Time Interval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748841"/>
        <c:crosses val="autoZero"/>
        <c:auto val="1"/>
        <c:lblAlgn val="ctr"/>
        <c:lblOffset val="100"/>
        <c:noMultiLvlLbl val="0"/>
      </c:catAx>
      <c:valAx>
        <c:axId val="467488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Vehicle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635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Vehicle Composition — Morning Peak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Analysis!$B$3</c:f>
              <c:strCache>
                <c:ptCount val="1"/>
                <c:pt idx="0">
                  <c:v>Morning Count (veh/hr)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978F-4EB7-88C5-679707AD6F7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78F-4EB7-88C5-679707AD6F7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78F-4EB7-88C5-679707AD6F7D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78F-4EB7-88C5-679707AD6F7D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978F-4EB7-88C5-679707AD6F7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978F-4EB7-88C5-679707AD6F7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978F-4EB7-88C5-679707AD6F7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978F-4EB7-88C5-679707AD6F7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978F-4EB7-88C5-679707AD6F7D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978F-4EB7-88C5-679707AD6F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Analysis!$A$4:$A$8</c:f>
              <c:strCache>
                <c:ptCount val="5"/>
                <c:pt idx="0">
                  <c:v>Two-Wheeler</c:v>
                </c:pt>
                <c:pt idx="1">
                  <c:v>Car</c:v>
                </c:pt>
                <c:pt idx="2">
                  <c:v>Auto</c:v>
                </c:pt>
                <c:pt idx="3">
                  <c:v>Bus</c:v>
                </c:pt>
                <c:pt idx="4">
                  <c:v>Truck</c:v>
                </c:pt>
              </c:strCache>
            </c:strRef>
          </c:cat>
          <c:val>
            <c:numRef>
              <c:f>Analysis!$B$4:$B$8</c:f>
              <c:numCache>
                <c:formatCode>General</c:formatCode>
                <c:ptCount val="5"/>
                <c:pt idx="0">
                  <c:v>416</c:v>
                </c:pt>
                <c:pt idx="1">
                  <c:v>149</c:v>
                </c:pt>
                <c:pt idx="2">
                  <c:v>79</c:v>
                </c:pt>
                <c:pt idx="3">
                  <c:v>12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78F-4EB7-88C5-679707AD6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Morning vs Evening Volume by Vehicle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Morning Count (veh/hr)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Analysis!$A$4:$A$8</c:f>
              <c:strCache>
                <c:ptCount val="5"/>
                <c:pt idx="0">
                  <c:v>Two-Wheeler</c:v>
                </c:pt>
                <c:pt idx="1">
                  <c:v>Car</c:v>
                </c:pt>
                <c:pt idx="2">
                  <c:v>Auto</c:v>
                </c:pt>
                <c:pt idx="3">
                  <c:v>Bus</c:v>
                </c:pt>
                <c:pt idx="4">
                  <c:v>Truck</c:v>
                </c:pt>
              </c:strCache>
            </c:strRef>
          </c:cat>
          <c:val>
            <c:numRef>
              <c:f>Analysis!$B$4:$B$8</c:f>
              <c:numCache>
                <c:formatCode>General</c:formatCode>
                <c:ptCount val="5"/>
                <c:pt idx="0">
                  <c:v>416</c:v>
                </c:pt>
                <c:pt idx="1">
                  <c:v>149</c:v>
                </c:pt>
                <c:pt idx="2">
                  <c:v>79</c:v>
                </c:pt>
                <c:pt idx="3">
                  <c:v>12</c:v>
                </c:pt>
                <c:pt idx="4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E-4355-9383-E81AE6334C62}"/>
            </c:ext>
          </c:extLst>
        </c:ser>
        <c:ser>
          <c:idx val="1"/>
          <c:order val="1"/>
          <c:tx>
            <c:strRef>
              <c:f>Analysis!$C$3</c:f>
              <c:strCache>
                <c:ptCount val="1"/>
                <c:pt idx="0">
                  <c:v>Evening Count (veh/hr)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Analysis!$A$4:$A$8</c:f>
              <c:strCache>
                <c:ptCount val="5"/>
                <c:pt idx="0">
                  <c:v>Two-Wheeler</c:v>
                </c:pt>
                <c:pt idx="1">
                  <c:v>Car</c:v>
                </c:pt>
                <c:pt idx="2">
                  <c:v>Auto</c:v>
                </c:pt>
                <c:pt idx="3">
                  <c:v>Bus</c:v>
                </c:pt>
                <c:pt idx="4">
                  <c:v>Truck</c:v>
                </c:pt>
              </c:strCache>
            </c:strRef>
          </c:cat>
          <c:val>
            <c:numRef>
              <c:f>Analysis!$C$4:$C$8</c:f>
              <c:numCache>
                <c:formatCode>General</c:formatCode>
                <c:ptCount val="5"/>
                <c:pt idx="0">
                  <c:v>412</c:v>
                </c:pt>
                <c:pt idx="1">
                  <c:v>143</c:v>
                </c:pt>
                <c:pt idx="2">
                  <c:v>81</c:v>
                </c:pt>
                <c:pt idx="3">
                  <c:v>14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2E-4355-9383-E81AE6334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798286"/>
        <c:axId val="19597914"/>
      </c:barChart>
      <c:catAx>
        <c:axId val="447982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Vehicle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597914"/>
        <c:crosses val="autoZero"/>
        <c:auto val="1"/>
        <c:lblAlgn val="ctr"/>
        <c:lblOffset val="100"/>
        <c:noMultiLvlLbl val="0"/>
      </c:catAx>
      <c:valAx>
        <c:axId val="195979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Vehicle Count (veh/hr)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7982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160560</xdr:rowOff>
    </xdr:from>
    <xdr:to>
      <xdr:col>18</xdr:col>
      <xdr:colOff>364680</xdr:colOff>
      <xdr:row>18</xdr:row>
      <xdr:rowOff>161640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160560</xdr:rowOff>
    </xdr:from>
    <xdr:to>
      <xdr:col>18</xdr:col>
      <xdr:colOff>364680</xdr:colOff>
      <xdr:row>18</xdr:row>
      <xdr:rowOff>161640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160560</xdr:rowOff>
    </xdr:from>
    <xdr:to>
      <xdr:col>13</xdr:col>
      <xdr:colOff>39240</xdr:colOff>
      <xdr:row>18</xdr:row>
      <xdr:rowOff>161640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18</xdr:row>
      <xdr:rowOff>160560</xdr:rowOff>
    </xdr:from>
    <xdr:to>
      <xdr:col>16</xdr:col>
      <xdr:colOff>364680</xdr:colOff>
      <xdr:row>35</xdr:row>
      <xdr:rowOff>161640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tabSelected="1" zoomScaleNormal="100" workbookViewId="0">
      <pane ySplit="3" topLeftCell="A4" activePane="bottomLeft" state="frozen"/>
      <selection pane="bottomLeft" sqref="A1:G1"/>
    </sheetView>
  </sheetViews>
  <sheetFormatPr defaultColWidth="8.6640625" defaultRowHeight="14.4" x14ac:dyDescent="0.3"/>
  <cols>
    <col min="1" max="1" width="18" customWidth="1"/>
    <col min="2" max="2" width="13" customWidth="1"/>
    <col min="3" max="4" width="10" customWidth="1"/>
    <col min="5" max="5" width="9" customWidth="1"/>
    <col min="6" max="7" width="10" customWidth="1"/>
  </cols>
  <sheetData>
    <row r="1" spans="1:7" ht="18" x14ac:dyDescent="0.35">
      <c r="A1" s="2" t="s">
        <v>0</v>
      </c>
      <c r="B1" s="2"/>
      <c r="C1" s="2"/>
      <c r="D1" s="2"/>
      <c r="E1" s="2"/>
      <c r="F1" s="2"/>
      <c r="G1" s="2"/>
    </row>
    <row r="3" spans="1:7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3">
      <c r="A4" s="4" t="s">
        <v>8</v>
      </c>
      <c r="B4" s="4">
        <v>96</v>
      </c>
      <c r="C4" s="4">
        <v>34</v>
      </c>
      <c r="D4" s="4">
        <v>19</v>
      </c>
      <c r="E4" s="4">
        <v>3</v>
      </c>
      <c r="F4" s="4">
        <v>11</v>
      </c>
      <c r="G4" s="5">
        <f>SUM(B4:F4)</f>
        <v>163</v>
      </c>
    </row>
    <row r="5" spans="1:7" x14ac:dyDescent="0.3">
      <c r="A5" s="4" t="s">
        <v>9</v>
      </c>
      <c r="B5" s="4">
        <v>101</v>
      </c>
      <c r="C5" s="4">
        <v>41</v>
      </c>
      <c r="D5" s="4">
        <v>22</v>
      </c>
      <c r="E5" s="4">
        <v>2</v>
      </c>
      <c r="F5" s="4">
        <v>13</v>
      </c>
      <c r="G5" s="5">
        <f>SUM(B5:F5)</f>
        <v>179</v>
      </c>
    </row>
    <row r="6" spans="1:7" x14ac:dyDescent="0.3">
      <c r="A6" s="4" t="s">
        <v>10</v>
      </c>
      <c r="B6" s="4">
        <v>112</v>
      </c>
      <c r="C6" s="4">
        <v>38</v>
      </c>
      <c r="D6" s="4">
        <v>20</v>
      </c>
      <c r="E6" s="4">
        <v>4</v>
      </c>
      <c r="F6" s="4">
        <v>10</v>
      </c>
      <c r="G6" s="5">
        <f>SUM(B6:F6)</f>
        <v>184</v>
      </c>
    </row>
    <row r="7" spans="1:7" x14ac:dyDescent="0.3">
      <c r="A7" s="4" t="s">
        <v>11</v>
      </c>
      <c r="B7" s="4">
        <v>107</v>
      </c>
      <c r="C7" s="4">
        <v>36</v>
      </c>
      <c r="D7" s="4">
        <v>18</v>
      </c>
      <c r="E7" s="4">
        <v>3</v>
      </c>
      <c r="F7" s="4">
        <v>12</v>
      </c>
      <c r="G7" s="5">
        <f>SUM(B7:F7)</f>
        <v>176</v>
      </c>
    </row>
    <row r="8" spans="1:7" x14ac:dyDescent="0.3">
      <c r="A8" s="5" t="s">
        <v>7</v>
      </c>
      <c r="B8" s="5">
        <f t="shared" ref="B8:G8" si="0">SUM(B4:B7)</f>
        <v>416</v>
      </c>
      <c r="C8" s="5">
        <f t="shared" si="0"/>
        <v>149</v>
      </c>
      <c r="D8" s="5">
        <f t="shared" si="0"/>
        <v>79</v>
      </c>
      <c r="E8" s="5">
        <f t="shared" si="0"/>
        <v>12</v>
      </c>
      <c r="F8" s="5">
        <f t="shared" si="0"/>
        <v>46</v>
      </c>
      <c r="G8" s="5">
        <f t="shared" si="0"/>
        <v>702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8" customWidth="1"/>
    <col min="2" max="2" width="13" customWidth="1"/>
    <col min="3" max="4" width="10" customWidth="1"/>
    <col min="5" max="5" width="9" customWidth="1"/>
    <col min="6" max="7" width="10" customWidth="1"/>
  </cols>
  <sheetData>
    <row r="1" spans="1:7" ht="18" x14ac:dyDescent="0.35">
      <c r="A1" s="2" t="s">
        <v>12</v>
      </c>
      <c r="B1" s="2"/>
      <c r="C1" s="2"/>
      <c r="D1" s="2"/>
      <c r="E1" s="2"/>
      <c r="F1" s="2"/>
      <c r="G1" s="2"/>
    </row>
    <row r="3" spans="1:7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3">
      <c r="A4" s="4" t="s">
        <v>13</v>
      </c>
      <c r="B4" s="4">
        <v>89</v>
      </c>
      <c r="C4" s="4">
        <v>31</v>
      </c>
      <c r="D4" s="4">
        <v>17</v>
      </c>
      <c r="E4" s="4">
        <v>4</v>
      </c>
      <c r="F4" s="4">
        <v>9</v>
      </c>
      <c r="G4" s="5">
        <f>SUM(B4:F4)</f>
        <v>150</v>
      </c>
    </row>
    <row r="5" spans="1:7" x14ac:dyDescent="0.3">
      <c r="A5" s="4" t="s">
        <v>14</v>
      </c>
      <c r="B5" s="4">
        <v>98</v>
      </c>
      <c r="C5" s="4">
        <v>35</v>
      </c>
      <c r="D5" s="4">
        <v>21</v>
      </c>
      <c r="E5" s="4">
        <v>3</v>
      </c>
      <c r="F5" s="4">
        <v>12</v>
      </c>
      <c r="G5" s="5">
        <f>SUM(B5:F5)</f>
        <v>169</v>
      </c>
    </row>
    <row r="6" spans="1:7" x14ac:dyDescent="0.3">
      <c r="A6" s="4" t="s">
        <v>15</v>
      </c>
      <c r="B6" s="4">
        <v>121</v>
      </c>
      <c r="C6" s="4">
        <v>40</v>
      </c>
      <c r="D6" s="4">
        <v>24</v>
      </c>
      <c r="E6" s="4">
        <v>5</v>
      </c>
      <c r="F6" s="4">
        <v>13</v>
      </c>
      <c r="G6" s="5">
        <f>SUM(B6:F6)</f>
        <v>203</v>
      </c>
    </row>
    <row r="7" spans="1:7" x14ac:dyDescent="0.3">
      <c r="A7" s="4" t="s">
        <v>16</v>
      </c>
      <c r="B7" s="4">
        <v>104</v>
      </c>
      <c r="C7" s="4">
        <v>37</v>
      </c>
      <c r="D7" s="4">
        <v>19</v>
      </c>
      <c r="E7" s="4">
        <v>2</v>
      </c>
      <c r="F7" s="4">
        <v>11</v>
      </c>
      <c r="G7" s="5">
        <f>SUM(B7:F7)</f>
        <v>173</v>
      </c>
    </row>
    <row r="8" spans="1:7" x14ac:dyDescent="0.3">
      <c r="A8" s="5" t="s">
        <v>7</v>
      </c>
      <c r="B8" s="5">
        <f t="shared" ref="B8:G8" si="0">SUM(B4:B7)</f>
        <v>412</v>
      </c>
      <c r="C8" s="5">
        <f t="shared" si="0"/>
        <v>143</v>
      </c>
      <c r="D8" s="5">
        <f t="shared" si="0"/>
        <v>81</v>
      </c>
      <c r="E8" s="5">
        <f t="shared" si="0"/>
        <v>14</v>
      </c>
      <c r="F8" s="5">
        <f t="shared" si="0"/>
        <v>45</v>
      </c>
      <c r="G8" s="5">
        <f t="shared" si="0"/>
        <v>695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zoomScaleNormal="100" workbookViewId="0"/>
  </sheetViews>
  <sheetFormatPr defaultColWidth="8.6640625" defaultRowHeight="14.4" x14ac:dyDescent="0.3"/>
  <cols>
    <col min="1" max="1" width="16" customWidth="1"/>
    <col min="2" max="3" width="20" customWidth="1"/>
    <col min="4" max="5" width="12" customWidth="1"/>
  </cols>
  <sheetData>
    <row r="1" spans="1:5" ht="18" x14ac:dyDescent="0.35">
      <c r="A1" s="2" t="s">
        <v>17</v>
      </c>
      <c r="B1" s="2"/>
      <c r="C1" s="2"/>
      <c r="D1" s="2"/>
      <c r="E1" s="2"/>
    </row>
    <row r="3" spans="1:5" x14ac:dyDescent="0.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</row>
    <row r="4" spans="1:5" x14ac:dyDescent="0.3">
      <c r="A4" s="4" t="s">
        <v>2</v>
      </c>
      <c r="B4" s="4">
        <f>'Morning Data'!B8</f>
        <v>416</v>
      </c>
      <c r="C4" s="4">
        <f>'Evening Data'!B8</f>
        <v>412</v>
      </c>
      <c r="D4" s="6">
        <f>B4/'Morning Data'!$G$8</f>
        <v>0.59259259259259256</v>
      </c>
      <c r="E4" s="6">
        <f>C4/'Evening Data'!$G$8</f>
        <v>0.59280575539568348</v>
      </c>
    </row>
    <row r="5" spans="1:5" x14ac:dyDescent="0.3">
      <c r="A5" s="4" t="s">
        <v>3</v>
      </c>
      <c r="B5" s="4">
        <f>'Morning Data'!C8</f>
        <v>149</v>
      </c>
      <c r="C5" s="4">
        <f>'Evening Data'!C8</f>
        <v>143</v>
      </c>
      <c r="D5" s="6">
        <f>B5/'Morning Data'!$G$8</f>
        <v>0.21225071225071226</v>
      </c>
      <c r="E5" s="6">
        <f>C5/'Evening Data'!$G$8</f>
        <v>0.20575539568345325</v>
      </c>
    </row>
    <row r="6" spans="1:5" x14ac:dyDescent="0.3">
      <c r="A6" s="4" t="s">
        <v>4</v>
      </c>
      <c r="B6" s="4">
        <f>'Morning Data'!D8</f>
        <v>79</v>
      </c>
      <c r="C6" s="4">
        <f>'Evening Data'!D8</f>
        <v>81</v>
      </c>
      <c r="D6" s="6">
        <f>B6/'Morning Data'!$G$8</f>
        <v>0.11253561253561253</v>
      </c>
      <c r="E6" s="6">
        <f>C6/'Evening Data'!$G$8</f>
        <v>0.11654676258992806</v>
      </c>
    </row>
    <row r="7" spans="1:5" x14ac:dyDescent="0.3">
      <c r="A7" s="4" t="s">
        <v>5</v>
      </c>
      <c r="B7" s="4">
        <f>'Morning Data'!E8</f>
        <v>12</v>
      </c>
      <c r="C7" s="4">
        <f>'Evening Data'!E8</f>
        <v>14</v>
      </c>
      <c r="D7" s="6">
        <f>B7/'Morning Data'!$G$8</f>
        <v>1.7094017094017096E-2</v>
      </c>
      <c r="E7" s="6">
        <f>C7/'Evening Data'!$G$8</f>
        <v>2.0143884892086329E-2</v>
      </c>
    </row>
    <row r="8" spans="1:5" x14ac:dyDescent="0.3">
      <c r="A8" s="4" t="s">
        <v>6</v>
      </c>
      <c r="B8" s="4">
        <f>'Morning Data'!F8</f>
        <v>46</v>
      </c>
      <c r="C8" s="4">
        <f>'Evening Data'!F8</f>
        <v>45</v>
      </c>
      <c r="D8" s="6">
        <f>B8/'Morning Data'!$G$8</f>
        <v>6.5527065527065526E-2</v>
      </c>
      <c r="E8" s="6">
        <f>C8/'Evening Data'!$G$8</f>
        <v>6.4748201438848921E-2</v>
      </c>
    </row>
    <row r="9" spans="1:5" x14ac:dyDescent="0.3">
      <c r="A9" s="5" t="s">
        <v>7</v>
      </c>
      <c r="B9" s="5">
        <f>SUM(B4:B8)</f>
        <v>702</v>
      </c>
      <c r="C9" s="5">
        <f>SUM(C4:C8)</f>
        <v>695</v>
      </c>
      <c r="D9" s="7">
        <f>SUM(D4:D8)</f>
        <v>1</v>
      </c>
      <c r="E9" s="7">
        <f>SUM(E4:E8)</f>
        <v>1</v>
      </c>
    </row>
    <row r="12" spans="1:5" x14ac:dyDescent="0.3">
      <c r="A12" s="1" t="s">
        <v>23</v>
      </c>
      <c r="B12" s="1"/>
    </row>
    <row r="13" spans="1:5" x14ac:dyDescent="0.3">
      <c r="A13" s="4" t="s">
        <v>24</v>
      </c>
      <c r="B13" s="4" t="str">
        <f>INDEX('Morning Data'!A4:A7,MATCH(MAX('Morning Data'!G4:G7),'Morning Data'!G4:G7,0))</f>
        <v>8:30 – 8:45 AM</v>
      </c>
    </row>
    <row r="14" spans="1:5" x14ac:dyDescent="0.3">
      <c r="A14" s="4" t="s">
        <v>25</v>
      </c>
      <c r="B14" s="4">
        <f>MAX('Morning Data'!G4:G7)</f>
        <v>184</v>
      </c>
    </row>
    <row r="15" spans="1:5" x14ac:dyDescent="0.3">
      <c r="A15" s="4" t="s">
        <v>26</v>
      </c>
      <c r="B15" s="4">
        <f>B14*4</f>
        <v>736</v>
      </c>
    </row>
  </sheetData>
  <mergeCells count="2">
    <mergeCell ref="A1:E1"/>
    <mergeCell ref="A12:B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Morning Data</vt:lpstr>
      <vt:lpstr>Evening 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BRAJ BHUSAN SHARMA</cp:lastModifiedBy>
  <cp:revision>1</cp:revision>
  <dcterms:created xsi:type="dcterms:W3CDTF">2026-07-14T10:02:02Z</dcterms:created>
  <dcterms:modified xsi:type="dcterms:W3CDTF">2026-07-15T14:13:41Z</dcterms:modified>
  <dc:language>en-US</dc:language>
</cp:coreProperties>
</file>